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 18" sheetId="1" state="visible" r:id="rId1"/>
    <sheet xmlns:r="http://schemas.openxmlformats.org/officeDocument/2006/relationships" name="PFL 3" sheetId="2" state="visible" r:id="rId2"/>
    <sheet xmlns:r="http://schemas.openxmlformats.org/officeDocument/2006/relationships" name="Cant" sheetId="3" state="visible" r:id="rId3"/>
    <sheet xmlns:r="http://schemas.openxmlformats.org/officeDocument/2006/relationships" name="Feroner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2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</cols>
  <sheetData>
    <row r="1">
      <c r="A1" s="1" t="inlineStr">
        <is>
          <t>Cod</t>
        </is>
      </c>
      <c r="B1" s="1" t="inlineStr">
        <is>
          <t>Grup</t>
        </is>
      </c>
      <c r="C1" s="1" t="inlineStr">
        <is>
          <t>Piesă</t>
        </is>
      </c>
      <c r="D1" s="1" t="inlineStr">
        <is>
          <t>Buc.</t>
        </is>
      </c>
      <c r="E1" s="1" t="inlineStr">
        <is>
          <t>Lung. (mm)</t>
        </is>
      </c>
      <c r="F1" s="1" t="inlineStr">
        <is>
          <t>Lăț. (mm)</t>
        </is>
      </c>
      <c r="G1" s="1" t="inlineStr">
        <is>
          <t>Cant L1</t>
        </is>
      </c>
      <c r="H1" s="1" t="inlineStr">
        <is>
          <t>Cant L2</t>
        </is>
      </c>
      <c r="I1" s="1" t="inlineStr">
        <is>
          <t>Cant l1</t>
        </is>
      </c>
      <c r="J1" s="1" t="inlineStr">
        <is>
          <t>Cant l2</t>
        </is>
      </c>
      <c r="K1" s="1" t="inlineStr">
        <is>
          <t>Arie (m²)</t>
        </is>
      </c>
      <c r="L1" s="1" t="inlineStr">
        <is>
          <t>Notă</t>
        </is>
      </c>
    </row>
    <row r="2">
      <c r="A2" t="inlineStr">
        <is>
          <t>1-LAT</t>
        </is>
      </c>
      <c r="B2" t="inlineStr">
        <is>
          <t>Corp 1 · Haine</t>
        </is>
      </c>
      <c r="C2" t="inlineStr">
        <is>
          <t>Laterală</t>
        </is>
      </c>
      <c r="D2" t="n">
        <v>2</v>
      </c>
      <c r="E2" t="n">
        <v>2360</v>
      </c>
      <c r="F2" t="n">
        <v>480</v>
      </c>
      <c r="G2" t="n">
        <v>0.8</v>
      </c>
      <c r="J2" t="n">
        <v>0.8</v>
      </c>
      <c r="K2" s="2">
        <f>D2*E2*F2/1000000</f>
        <v/>
      </c>
      <c r="L2" t="inlineStr">
        <is>
          <t>L1 = muchia din față, l2 = muchia de jos</t>
        </is>
      </c>
    </row>
    <row r="3">
      <c r="A3" t="inlineStr">
        <is>
          <t>1-CAP</t>
        </is>
      </c>
      <c r="B3" t="inlineStr">
        <is>
          <t>Corp 1 · Haine</t>
        </is>
      </c>
      <c r="C3" t="inlineStr">
        <is>
          <t>Capac / fund</t>
        </is>
      </c>
      <c r="D3" t="n">
        <v>2</v>
      </c>
      <c r="E3" t="n">
        <v>480</v>
      </c>
      <c r="F3" t="n">
        <v>464</v>
      </c>
      <c r="I3" t="n">
        <v>0.8</v>
      </c>
      <c r="K3" s="2">
        <f>D3*E3*F3/1000000</f>
        <v/>
      </c>
      <c r="L3" t="inlineStr">
        <is>
          <t>l1 = muchia din față</t>
        </is>
      </c>
    </row>
    <row r="4">
      <c r="A4" t="inlineStr">
        <is>
          <t>1-POL</t>
        </is>
      </c>
      <c r="B4" t="inlineStr">
        <is>
          <t>Corp 1 · Haine</t>
        </is>
      </c>
      <c r="C4" t="inlineStr">
        <is>
          <t>Poliță fixă sus</t>
        </is>
      </c>
      <c r="D4" t="n">
        <v>1</v>
      </c>
      <c r="E4" t="n">
        <v>480</v>
      </c>
      <c r="F4" t="n">
        <v>464</v>
      </c>
      <c r="I4" t="n">
        <v>0.8</v>
      </c>
      <c r="K4" s="2">
        <f>D4*E4*F4/1000000</f>
        <v/>
      </c>
      <c r="L4" t="inlineStr">
        <is>
          <t>l1 = muchia din față</t>
        </is>
      </c>
    </row>
    <row r="5">
      <c r="A5" t="inlineStr">
        <is>
          <t>1-PLI</t>
        </is>
      </c>
      <c r="B5" t="inlineStr">
        <is>
          <t>Corp 1 · Haine</t>
        </is>
      </c>
      <c r="C5" t="inlineStr">
        <is>
          <t>Plintă față</t>
        </is>
      </c>
      <c r="D5" t="n">
        <v>1</v>
      </c>
      <c r="E5" t="n">
        <v>464</v>
      </c>
      <c r="F5" t="n">
        <v>60</v>
      </c>
      <c r="G5" t="n">
        <v>0.8</v>
      </c>
      <c r="K5" s="2">
        <f>D5*E5*F5/1000000</f>
        <v/>
      </c>
      <c r="L5" t="inlineStr">
        <is>
          <t>L1 = muchia de jos</t>
        </is>
      </c>
    </row>
    <row r="6">
      <c r="A6" t="inlineStr">
        <is>
          <t>1-USA</t>
        </is>
      </c>
      <c r="B6" t="inlineStr">
        <is>
          <t>Corp 1 · Haine</t>
        </is>
      </c>
      <c r="C6" t="inlineStr">
        <is>
          <t>Ușă</t>
        </is>
      </c>
      <c r="D6" t="n">
        <v>1</v>
      </c>
      <c r="E6" t="n">
        <v>2296</v>
      </c>
      <c r="F6" t="n">
        <v>496</v>
      </c>
      <c r="G6" t="n">
        <v>2</v>
      </c>
      <c r="H6" t="n">
        <v>2</v>
      </c>
      <c r="I6" t="n">
        <v>2</v>
      </c>
      <c r="J6" t="n">
        <v>2</v>
      </c>
      <c r="K6" s="2">
        <f>D6*E6*F6/1000000</f>
        <v/>
      </c>
      <c r="L6" t="inlineStr">
        <is>
          <t>4 muchii</t>
        </is>
      </c>
    </row>
    <row r="7">
      <c r="A7" t="inlineStr">
        <is>
          <t>2-LAT</t>
        </is>
      </c>
      <c r="B7" t="inlineStr">
        <is>
          <t>Corp 2 · Pantofar</t>
        </is>
      </c>
      <c r="C7" t="inlineStr">
        <is>
          <t>Laterală</t>
        </is>
      </c>
      <c r="D7" t="n">
        <v>2</v>
      </c>
      <c r="E7" t="n">
        <v>2360</v>
      </c>
      <c r="F7" t="n">
        <v>480</v>
      </c>
      <c r="G7" t="n">
        <v>0.8</v>
      </c>
      <c r="J7" t="n">
        <v>0.8</v>
      </c>
      <c r="K7" s="2">
        <f>D7*E7*F7/1000000</f>
        <v/>
      </c>
      <c r="L7" t="inlineStr">
        <is>
          <t>L1 = muchia din față, l2 = muchia de jos</t>
        </is>
      </c>
    </row>
    <row r="8">
      <c r="A8" t="inlineStr">
        <is>
          <t>2-CAP</t>
        </is>
      </c>
      <c r="B8" t="inlineStr">
        <is>
          <t>Corp 2 · Pantofar</t>
        </is>
      </c>
      <c r="C8" t="inlineStr">
        <is>
          <t>Capac / fund</t>
        </is>
      </c>
      <c r="D8" t="n">
        <v>2</v>
      </c>
      <c r="E8" t="n">
        <v>480</v>
      </c>
      <c r="F8" t="n">
        <v>464</v>
      </c>
      <c r="I8" t="n">
        <v>0.8</v>
      </c>
      <c r="K8" s="2">
        <f>D8*E8*F8/1000000</f>
        <v/>
      </c>
      <c r="L8" t="inlineStr">
        <is>
          <t>l1 = muchia din față</t>
        </is>
      </c>
    </row>
    <row r="9">
      <c r="A9" t="inlineStr">
        <is>
          <t>2-POL</t>
        </is>
      </c>
      <c r="B9" t="inlineStr">
        <is>
          <t>Corp 2 · Pantofar</t>
        </is>
      </c>
      <c r="C9" t="inlineStr">
        <is>
          <t>Poliță mobilă (8 + 1 rezervă)</t>
        </is>
      </c>
      <c r="D9" t="n">
        <v>9</v>
      </c>
      <c r="E9" t="n">
        <v>462</v>
      </c>
      <c r="F9" t="n">
        <v>440</v>
      </c>
      <c r="G9" t="n">
        <v>0.8</v>
      </c>
      <c r="K9" s="2">
        <f>D9*E9*F9/1000000</f>
        <v/>
      </c>
      <c r="L9" t="inlineStr">
        <is>
          <t>L1 = muchia din față</t>
        </is>
      </c>
    </row>
    <row r="10">
      <c r="A10" t="inlineStr">
        <is>
          <t>2-PLI</t>
        </is>
      </c>
      <c r="B10" t="inlineStr">
        <is>
          <t>Corp 2 · Pantofar</t>
        </is>
      </c>
      <c r="C10" t="inlineStr">
        <is>
          <t>Plintă față</t>
        </is>
      </c>
      <c r="D10" t="n">
        <v>1</v>
      </c>
      <c r="E10" t="n">
        <v>464</v>
      </c>
      <c r="F10" t="n">
        <v>60</v>
      </c>
      <c r="G10" t="n">
        <v>0.8</v>
      </c>
      <c r="K10" s="2">
        <f>D10*E10*F10/1000000</f>
        <v/>
      </c>
      <c r="L10" t="inlineStr">
        <is>
          <t>L1 = muchia de jos</t>
        </is>
      </c>
    </row>
    <row r="11">
      <c r="A11" t="inlineStr">
        <is>
          <t>2-USA</t>
        </is>
      </c>
      <c r="B11" t="inlineStr">
        <is>
          <t>Corp 2 · Pantofar</t>
        </is>
      </c>
      <c r="C11" t="inlineStr">
        <is>
          <t>Ușă</t>
        </is>
      </c>
      <c r="D11" t="n">
        <v>1</v>
      </c>
      <c r="E11" t="n">
        <v>2296</v>
      </c>
      <c r="F11" t="n">
        <v>496</v>
      </c>
      <c r="G11" t="n">
        <v>2</v>
      </c>
      <c r="H11" t="n">
        <v>2</v>
      </c>
      <c r="I11" t="n">
        <v>2</v>
      </c>
      <c r="J11" t="n">
        <v>2</v>
      </c>
      <c r="K11" s="2">
        <f>D11*E11*F11/1000000</f>
        <v/>
      </c>
      <c r="L11" t="inlineStr">
        <is>
          <t>4 muchii</t>
        </is>
      </c>
    </row>
    <row r="12">
      <c r="A12" t="inlineStr">
        <is>
          <t>3B-LAT</t>
        </is>
      </c>
      <c r="B12" t="inlineStr">
        <is>
          <t>Corp 3 · Bancă</t>
        </is>
      </c>
      <c r="C12" t="inlineStr">
        <is>
          <t>Laterală</t>
        </is>
      </c>
      <c r="D12" t="n">
        <v>2</v>
      </c>
      <c r="E12" t="n">
        <v>460</v>
      </c>
      <c r="F12" t="n">
        <v>480</v>
      </c>
      <c r="G12" t="n">
        <v>0.8</v>
      </c>
      <c r="I12" t="n">
        <v>0.8</v>
      </c>
      <c r="J12" t="n">
        <v>0.8</v>
      </c>
      <c r="K12" s="2">
        <f>D12*E12*F12/1000000</f>
        <v/>
      </c>
      <c r="L12" t="inlineStr">
        <is>
          <t>L1 = față, l1 = sus, l2 = jos</t>
        </is>
      </c>
    </row>
    <row r="13">
      <c r="A13" t="inlineStr">
        <is>
          <t>3B-SEZ</t>
        </is>
      </c>
      <c r="B13" t="inlineStr">
        <is>
          <t>Corp 3 · Bancă</t>
        </is>
      </c>
      <c r="C13" t="inlineStr">
        <is>
          <t>Șezut (capac)</t>
        </is>
      </c>
      <c r="D13" t="n">
        <v>1</v>
      </c>
      <c r="E13" t="n">
        <v>480</v>
      </c>
      <c r="F13" t="n">
        <v>464</v>
      </c>
      <c r="I13" t="n">
        <v>2</v>
      </c>
      <c r="K13" s="2">
        <f>D13*E13*F13/1000000</f>
        <v/>
      </c>
      <c r="L13" t="inlineStr">
        <is>
          <t>l1 = muchia din față</t>
        </is>
      </c>
    </row>
    <row r="14">
      <c r="A14" t="inlineStr">
        <is>
          <t>3B-FND</t>
        </is>
      </c>
      <c r="B14" t="inlineStr">
        <is>
          <t>Corp 3 · Bancă</t>
        </is>
      </c>
      <c r="C14" t="inlineStr">
        <is>
          <t>Fund</t>
        </is>
      </c>
      <c r="D14" t="n">
        <v>1</v>
      </c>
      <c r="E14" t="n">
        <v>480</v>
      </c>
      <c r="F14" t="n">
        <v>464</v>
      </c>
      <c r="I14" t="n">
        <v>0.8</v>
      </c>
      <c r="K14" s="2">
        <f>D14*E14*F14/1000000</f>
        <v/>
      </c>
      <c r="L14" t="inlineStr">
        <is>
          <t>l1 = muchia din față</t>
        </is>
      </c>
    </row>
    <row r="15">
      <c r="A15" t="inlineStr">
        <is>
          <t>3B-PLI</t>
        </is>
      </c>
      <c r="B15" t="inlineStr">
        <is>
          <t>Corp 3 · Bancă</t>
        </is>
      </c>
      <c r="C15" t="inlineStr">
        <is>
          <t>Plintă față</t>
        </is>
      </c>
      <c r="D15" t="n">
        <v>1</v>
      </c>
      <c r="E15" t="n">
        <v>464</v>
      </c>
      <c r="F15" t="n">
        <v>60</v>
      </c>
      <c r="G15" t="n">
        <v>0.8</v>
      </c>
      <c r="K15" s="2">
        <f>D15*E15*F15/1000000</f>
        <v/>
      </c>
      <c r="L15" t="inlineStr">
        <is>
          <t>L1 = muchia de jos</t>
        </is>
      </c>
    </row>
    <row r="16">
      <c r="A16" t="inlineStr">
        <is>
          <t>3B-USA</t>
        </is>
      </c>
      <c r="B16" t="inlineStr">
        <is>
          <t>Corp 3 · Bancă</t>
        </is>
      </c>
      <c r="C16" t="inlineStr">
        <is>
          <t>Ușă</t>
        </is>
      </c>
      <c r="D16" t="n">
        <v>1</v>
      </c>
      <c r="E16" t="n">
        <v>496</v>
      </c>
      <c r="F16" t="n">
        <v>378</v>
      </c>
      <c r="G16" t="n">
        <v>2</v>
      </c>
      <c r="H16" t="n">
        <v>2</v>
      </c>
      <c r="I16" t="n">
        <v>2</v>
      </c>
      <c r="J16" t="n">
        <v>2</v>
      </c>
      <c r="K16" s="2">
        <f>D16*E16*F16/1000000</f>
        <v/>
      </c>
      <c r="L16" t="inlineStr">
        <is>
          <t>4 muchii</t>
        </is>
      </c>
    </row>
    <row r="17">
      <c r="A17" t="inlineStr">
        <is>
          <t>3P-PAN</t>
        </is>
      </c>
      <c r="B17" t="inlineStr">
        <is>
          <t>Corp 3 · Panou cuier</t>
        </is>
      </c>
      <c r="C17" t="inlineStr">
        <is>
          <t>Panou perete</t>
        </is>
      </c>
      <c r="D17" t="n">
        <v>1</v>
      </c>
      <c r="E17" t="n">
        <v>1300</v>
      </c>
      <c r="F17" t="n">
        <v>500</v>
      </c>
      <c r="G17" t="n">
        <v>2</v>
      </c>
      <c r="H17" t="n">
        <v>2</v>
      </c>
      <c r="I17" t="n">
        <v>2</v>
      </c>
      <c r="J17" t="n">
        <v>2</v>
      </c>
      <c r="K17" s="2">
        <f>D17*E17*F17/1000000</f>
        <v/>
      </c>
      <c r="L17" t="inlineStr">
        <is>
          <t>4 muchii</t>
        </is>
      </c>
    </row>
    <row r="18">
      <c r="A18" t="inlineStr">
        <is>
          <t>3S-LAT</t>
        </is>
      </c>
      <c r="B18" t="inlineStr">
        <is>
          <t>Corp 3 · Suspendat</t>
        </is>
      </c>
      <c r="C18" t="inlineStr">
        <is>
          <t>Laterală</t>
        </is>
      </c>
      <c r="D18" t="n">
        <v>2</v>
      </c>
      <c r="E18" t="n">
        <v>600</v>
      </c>
      <c r="F18" t="n">
        <v>480</v>
      </c>
      <c r="G18" t="n">
        <v>0.8</v>
      </c>
      <c r="J18" t="n">
        <v>0.8</v>
      </c>
      <c r="K18" s="2">
        <f>D18*E18*F18/1000000</f>
        <v/>
      </c>
      <c r="L18" t="inlineStr">
        <is>
          <t>L1 = față, l2 = jos</t>
        </is>
      </c>
    </row>
    <row r="19">
      <c r="A19" t="inlineStr">
        <is>
          <t>3S-CAP</t>
        </is>
      </c>
      <c r="B19" t="inlineStr">
        <is>
          <t>Corp 3 · Suspendat</t>
        </is>
      </c>
      <c r="C19" t="inlineStr">
        <is>
          <t>Capac / fund</t>
        </is>
      </c>
      <c r="D19" t="n">
        <v>2</v>
      </c>
      <c r="E19" t="n">
        <v>480</v>
      </c>
      <c r="F19" t="n">
        <v>464</v>
      </c>
      <c r="I19" t="n">
        <v>0.8</v>
      </c>
      <c r="K19" s="2">
        <f>D19*E19*F19/1000000</f>
        <v/>
      </c>
      <c r="L19" t="inlineStr">
        <is>
          <t>l1 = muchia din față</t>
        </is>
      </c>
    </row>
    <row r="20">
      <c r="A20" t="inlineStr">
        <is>
          <t>3S-USA</t>
        </is>
      </c>
      <c r="B20" t="inlineStr">
        <is>
          <t>Corp 3 · Suspendat</t>
        </is>
      </c>
      <c r="C20" t="inlineStr">
        <is>
          <t>Ușă</t>
        </is>
      </c>
      <c r="D20" t="n">
        <v>1</v>
      </c>
      <c r="E20" t="n">
        <v>596</v>
      </c>
      <c r="F20" t="n">
        <v>496</v>
      </c>
      <c r="G20" t="n">
        <v>2</v>
      </c>
      <c r="H20" t="n">
        <v>2</v>
      </c>
      <c r="I20" t="n">
        <v>2</v>
      </c>
      <c r="J20" t="n">
        <v>2</v>
      </c>
      <c r="K20" s="2">
        <f>D20*E20*F20/1000000</f>
        <v/>
      </c>
      <c r="L20" t="inlineStr">
        <is>
          <t>4 muchii</t>
        </is>
      </c>
    </row>
    <row r="21">
      <c r="C21" s="3" t="inlineStr">
        <is>
          <t>Total</t>
        </is>
      </c>
      <c r="D21">
        <f>SUM(D2:D20)</f>
        <v/>
      </c>
      <c r="K21" s="2">
        <f>SUM(K2:K20)</f>
        <v/>
      </c>
    </row>
    <row r="23">
      <c r="C23" t="inlineStr">
        <is>
          <t>Cote finite (după cant). Muchii: L = laturile lungi, l = cele scurte; valoarea e grosimea cantului în mm.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Cod</t>
        </is>
      </c>
      <c r="B1" s="1" t="inlineStr">
        <is>
          <t>Piesă</t>
        </is>
      </c>
      <c r="C1" s="1" t="inlineStr">
        <is>
          <t>Buc.</t>
        </is>
      </c>
      <c r="D1" s="1" t="inlineStr">
        <is>
          <t>Lung. (mm)</t>
        </is>
      </c>
      <c r="E1" s="1" t="inlineStr">
        <is>
          <t>Lăț. (mm)</t>
        </is>
      </c>
      <c r="F1" s="1" t="inlineStr">
        <is>
          <t>Arie (m²)</t>
        </is>
      </c>
    </row>
    <row r="2">
      <c r="A2" t="inlineStr">
        <is>
          <t>PFL-12</t>
        </is>
      </c>
      <c r="B2" t="inlineStr">
        <is>
          <t>Spate corp 1 și 2</t>
        </is>
      </c>
      <c r="C2" t="n">
        <v>2</v>
      </c>
      <c r="D2" t="n">
        <v>2356</v>
      </c>
      <c r="E2" t="n">
        <v>496</v>
      </c>
      <c r="F2" s="2">
        <f>C2*D2*E2/1000000</f>
        <v/>
      </c>
    </row>
    <row r="3">
      <c r="A3" t="inlineStr">
        <is>
          <t>PFL-3B</t>
        </is>
      </c>
      <c r="B3" t="inlineStr">
        <is>
          <t>Spate bancă</t>
        </is>
      </c>
      <c r="C3" t="n">
        <v>1</v>
      </c>
      <c r="D3" t="n">
        <v>456</v>
      </c>
      <c r="E3" t="n">
        <v>496</v>
      </c>
      <c r="F3" s="2">
        <f>C3*D3*E3/1000000</f>
        <v/>
      </c>
    </row>
    <row r="4">
      <c r="A4" t="inlineStr">
        <is>
          <t>PFL-3S</t>
        </is>
      </c>
      <c r="B4" t="inlineStr">
        <is>
          <t>Spate suspendat</t>
        </is>
      </c>
      <c r="C4" t="n">
        <v>1</v>
      </c>
      <c r="D4" t="n">
        <v>596</v>
      </c>
      <c r="E4" t="n">
        <v>496</v>
      </c>
      <c r="F4" s="2">
        <f>C4*D4*E4/1000000</f>
        <v/>
      </c>
    </row>
    <row r="5">
      <c r="B5" s="3" t="inlineStr">
        <is>
          <t>Total</t>
        </is>
      </c>
      <c r="C5">
        <f>SUM(C2:C4)</f>
        <v/>
      </c>
      <c r="F5" s="2">
        <f>SUM(F2:F4)</f>
        <v/>
      </c>
    </row>
    <row r="7">
      <c r="B7" t="inlineStr">
        <is>
          <t>Coala PFL 2800 × 2070 este presupusă (de confirmat).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1" t="inlineStr">
        <is>
          <t>Grosime cant (mm)</t>
        </is>
      </c>
      <c r="B1" s="1" t="inlineStr">
        <is>
          <t>Metri liniari</t>
        </is>
      </c>
      <c r="C1" s="1" t="inlineStr">
        <is>
          <t>Cu rezervă 10% (m)</t>
        </is>
      </c>
    </row>
    <row r="2">
      <c r="A2" t="n">
        <v>0.8</v>
      </c>
      <c r="B2" t="n">
        <v>25.622</v>
      </c>
      <c r="C2" s="4">
        <f>B2*1.1</f>
        <v/>
      </c>
    </row>
    <row r="3">
      <c r="A3" t="n">
        <v>2</v>
      </c>
      <c r="B3" t="n">
        <v>19.164</v>
      </c>
      <c r="C3" s="4">
        <f>B3*1.1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5" customWidth="1" min="3" max="3"/>
  </cols>
  <sheetData>
    <row r="1">
      <c r="A1" s="1" t="inlineStr">
        <is>
          <t>Articol</t>
        </is>
      </c>
      <c r="B1" s="1" t="inlineStr">
        <is>
          <t>Cantitate</t>
        </is>
      </c>
      <c r="C1" s="1" t="inlineStr">
        <is>
          <t>Notă</t>
        </is>
      </c>
    </row>
    <row r="2">
      <c r="A2" t="inlineStr">
        <is>
          <t>Balama Blum CLIP top BLUMOTION 110° (cupă Ø35)</t>
        </is>
      </c>
      <c r="B2" t="n">
        <v>14</v>
      </c>
      <c r="C2" t="inlineStr">
        <is>
          <t>5+5 uși înalte, 2 bancă, 2 suspendat, toate pe stânga</t>
        </is>
      </c>
    </row>
    <row r="3">
      <c r="A3" t="inlineStr">
        <is>
          <t>Plăcuță de montaj pentru balama (de verificat tipul pe fișa Blum)</t>
        </is>
      </c>
      <c r="B3" t="n">
        <v>14</v>
      </c>
      <c r="C3" t="inlineStr">
        <is>
          <t>o plăcuță la fiecare balama</t>
        </is>
      </c>
    </row>
    <row r="4">
      <c r="A4" t="inlineStr">
        <is>
          <t>Pini de poliță Ø5</t>
        </is>
      </c>
      <c r="B4" t="n">
        <v>36</v>
      </c>
      <c r="C4" t="inlineStr">
        <is>
          <t>8 polițe mobile × 4 + rezervă; de verificat tipul</t>
        </is>
      </c>
    </row>
    <row r="5">
      <c r="A5" t="inlineStr">
        <is>
          <t>Bară umerașe Ø25 cu suporți</t>
        </is>
      </c>
      <c r="B5" t="n">
        <v>2</v>
      </c>
      <c r="C5" t="inlineStr">
        <is>
          <t>corp 1, poziții orientative</t>
        </is>
      </c>
    </row>
    <row r="6">
      <c r="A6" t="inlineStr">
        <is>
          <t>Colțare metalice pentru perete</t>
        </is>
      </c>
      <c r="B6" t="n">
        <v>10</v>
      </c>
      <c r="C6" t="inlineStr">
        <is>
          <t>4 pe corp înalt, 2 pe bancă</t>
        </is>
      </c>
    </row>
    <row r="7">
      <c r="A7" t="inlineStr">
        <is>
          <t>Suporți de suspendare pentru corpul suspendat</t>
        </is>
      </c>
      <c r="B7" t="n">
        <v>2</v>
      </c>
      <c r="C7" t="inlineStr">
        <is>
          <t>după fișa suportului</t>
        </is>
      </c>
    </row>
    <row r="8">
      <c r="A8" t="inlineStr">
        <is>
          <t>Cârlige panou cuier</t>
        </is>
      </c>
      <c r="B8" t="n">
        <v>3</v>
      </c>
      <c r="C8" t="inlineStr">
        <is>
          <t>poziții orientative</t>
        </is>
      </c>
    </row>
    <row r="9">
      <c r="A9" t="inlineStr">
        <is>
          <t>Șuruburi, dibluri, șuruburi de asamblare</t>
        </is>
      </c>
      <c r="B9" t="inlineStr">
        <is>
          <t>-</t>
        </is>
      </c>
      <c r="C9" t="inlineStr">
        <is>
          <t>alege utilizatorul, în funcție de perete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2026-10-22T22:37:52Z</dcterms:created>
  <dcterms:modified xmlns:dcterms="http://purl.org/dc/terms/" xmlns:xsi="http://www.w3.org/2001/XMLSchema-instance" xsi:type="dcterms:W3CDTF">2026-10-22T22:37:52Z</dcterms:modified>
</cp:coreProperties>
</file>